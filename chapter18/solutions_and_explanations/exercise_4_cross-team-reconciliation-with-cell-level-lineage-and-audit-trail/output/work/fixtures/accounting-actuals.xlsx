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1"/>
  </bookViews>
  <sheets>
    <sheet name="Monthly" sheetId="1" r:id="rId1"/>
    <sheet name="ReconcilingItems" sheetId="2" r:id="rId2"/>
  </sheets>
  <calcPr calcId="191029"/>
</workbook>
</file>

<file path=xl/sharedStrings.xml><?xml version="1.0" encoding="utf-8"?>
<sst xmlns="http://schemas.openxmlformats.org/spreadsheetml/2006/main" count="31" uniqueCount="30">
  <si>
    <t>Helios accounting actuals - 2026-09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</si>
  <si>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</si>
  <si>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</si>
  <si>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</si>
  <si>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</si>
  <si>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</si>
  <si>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</si>
  <si>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</si>
  <si>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</si>
  <si>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</si>
  <si>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</si>
  <si>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Revenue recognised</t>
  </si>
  <si>
    <t>Deferred revenue balance</t>
  </si>
  <si>
    <t>Closing debt</t>
  </si>
  <si>
    <t>Closing cash</t>
  </si>
  <si>
    <t>Undrawn revolver</t>
  </si>
  <si>
    <t>Annualised revenue</t>
  </si>
  <si>
    <t>Cash</t>
  </si>
  <si>
    <t>ARR</t>
  </si>
  <si>
    <t>DeferredRevenue</t>
  </si>
  <si>
    <t>TotalDebt</t>
  </si>
  <si>
    <t>AvailableLiquidity</t>
  </si>
  <si>
    <t>Helios reconciling items - 2026-09</t>
  </si>
  <si>
    <t>Account</t>
  </si>
  <si>
    <t>Description</t>
  </si>
  <si>
    <t>Amount</t>
  </si>
  <si>
    <t>Raised by</t>
  </si>
  <si>
    <t>Raised on</t>
  </si>
  <si>
    <t>Deferred revenue true-up on the Q3 billing run</t>
  </si>
  <si>
    <t>Accounting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</si>
</sst>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selection activeCell="A1" sqref="A1"/>
    </sheetView>
  </sheetViews>
  <sheetFormatPr defaultRowHeight="15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>
      <c r="A4" t="s">
        <v>11</v>
      </c>
      <c r="B4">
        <v>41000000</v>
      </c>
      <c r="C4">
        <v>41500000</v>
      </c>
      <c r="D4">
        <v>42250000</v>
      </c>
      <c r="E4">
        <v>43000000</v>
      </c>
      <c r="F4">
        <v>43500000</v>
      </c>
      <c r="G4">
        <v>44000000</v>
      </c>
      <c r="H4">
        <v>44250000</v>
      </c>
      <c r="I4">
        <v>44500000</v>
      </c>
      <c r="J4">
        <v>45480000</v>
      </c>
    </row>
    <row r="5">
      <c r="A5" t="s">
        <v>12</v>
      </c>
      <c r="J5">
        <v>8122500</v>
      </c>
    </row>
    <row r="6">
      <c r="A6" t="s">
        <v>13</v>
      </c>
      <c r="J6">
        <v>100000000</v>
      </c>
    </row>
    <row r="7">
      <c r="A7" t="s">
        <v>14</v>
      </c>
      <c r="J7">
        <v>2375000</v>
      </c>
    </row>
    <row r="8">
      <c r="A8" t="s">
        <v>15</v>
      </c>
      <c r="J8">
        <v>2250000</v>
      </c>
    </row>
    <row r="9">
      <c r="A9" t="s">
        <v>16</v>
      </c>
      <c r="J9">
        <f>J4*12</f>
        <v>545760000</v>
      </c>
    </row>
    <row r="11">
      <c r="A11" t="s">
        <v>17</v>
      </c>
      <c r="B11">
        <f>J7</f>
        <v>2375000</v>
      </c>
    </row>
    <row r="12">
      <c r="A12" t="s">
        <v>18</v>
      </c>
      <c r="B12">
        <f>J9</f>
        <v>545760000</v>
      </c>
    </row>
    <row r="13">
      <c r="A13" t="s">
        <v>19</v>
      </c>
      <c r="B13">
        <f>J5</f>
        <v>8122500</v>
      </c>
    </row>
    <row r="14">
      <c r="A14" t="s">
        <v>20</v>
      </c>
      <c r="B14">
        <f>J6</f>
        <v>100000000</v>
      </c>
    </row>
    <row r="15">
      <c r="A15" t="s">
        <v>21</v>
      </c>
      <c r="B15">
        <f>J7+J8</f>
        <v>4625000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A1" sqref="A1"/>
    </sheetView>
  </sheetViews>
  <sheetFormatPr defaultRowHeight="15"/>
  <sheetData>
    <row r="1">
      <c r="A1" t="s">
        <v>22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</row>
    <row r="4">
      <c r="A4" t="s">
        <v>19</v>
      </c>
      <c r="B4" t="s">
        <v>28</v>
      </c>
      <c r="C4">
        <v>0.4</v>
      </c>
      <c r="D4" t="s">
        <v>29</v>
      </c>
      <c r="E4" s="1">
        <v>46293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