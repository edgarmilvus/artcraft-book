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name="Assumptions" sheetId="1" r:id="rId1"/>
    <sheet name="Summary" sheetId="2" r:id="rId2"/>
  </sheets>
  <definedNames>
    <definedName name="Assumptions.Base.MRR">Assumptions!$B$3</definedName>
    <definedName name="Assumptions.NRR">Assumptions!$B$4</definedName>
    <definedName name="Assumptions.OpeningDebt">Assumptions!$B$7</definedName>
    <definedName name="Assumptions.Revolver">Assumptions!$B$8</definedName>
  </definedNames>
  <calcPr calcId="191029"/>
</workbook>
</file>

<file path=xl/sharedStrings.xml><?xml version="1.0" encoding="utf-8"?>
<sst xmlns="http://schemas.openxmlformats.org/spreadsheetml/2006/main" count="49" uniqueCount="48">
  <si>
    <t>Helios FP&amp;A forecast - assumptions (2026-09)</t>
  </si>
  <si>
    <t>Base MRR</t>
  </si>
  <si>
    <t>Net revenue retention</t>
  </si>
  <si>
    <t>Churn rate</t>
  </si>
  <si>
    <t>Deferred revenue build</t>
  </si>
  <si>
    <t>Opening debt</t>
  </si>
  <si>
    <t>Undrawn revolver</t>
  </si>
  <si>
    <t>Segment revenue drivers</t>
  </si>
  <si>
    <t>2026-09</t>
  </si>
  <si>
    <t>Segment 01 revenue</t>
  </si>
  <si>
    <t>Segment 02 revenue</t>
  </si>
  <si>
    <t>Segment 03 revenue</t>
  </si>
  <si>
    <t>Segment 04 revenue</t>
  </si>
  <si>
    <t>Segment 05 revenue</t>
  </si>
  <si>
    <t>Segment 06 revenue</t>
  </si>
  <si>
    <t>Segment 07 revenue</t>
  </si>
  <si>
    <t>Segment 08 revenue</t>
  </si>
  <si>
    <t>Segment 09 revenue</t>
  </si>
  <si>
    <t>Segment 10 revenue</t>
  </si>
  <si>
    <t>Segment 11 revenue</t>
  </si>
  <si>
    <t>Segment 12 revenue</t>
  </si>
  <si>
    <t>Segment 13 revenue</t>
  </si>
  <si>
    <t>Segment 14 revenue</t>
  </si>
  <si>
    <t>Segment 15 revenue</t>
  </si>
  <si>
    <t>Segment 16 revenue</t>
  </si>
  <si>
    <t>Segment 17 revenue</t>
  </si>
  <si>
    <t>Segment 18 revenue</t>
  </si>
  <si>
    <t>Segment 19 revenue</t>
  </si>
  <si>
    <t>Segment 20 revenue</t>
  </si>
  <si>
    <t>Segment 21 revenue</t>
  </si>
  <si>
    <t>Segment 22 revenue</t>
  </si>
  <si>
    <t>Segment 23 revenue</t>
  </si>
  <si>
    <t>Segment 24 revenue</t>
  </si>
  <si>
    <t>Total segment revenue</t>
  </si>
  <si>
    <t>Churned MRR</t>
  </si>
  <si>
    <t>Net new MRR</t>
  </si>
  <si>
    <t>Ending ARR</t>
  </si>
  <si>
    <t>Cash</t>
  </si>
  <si>
    <t>Deferred revenue</t>
  </si>
  <si>
    <t>Debt amortisation</t>
  </si>
  <si>
    <t>Closing debt</t>
  </si>
  <si>
    <t>Available liquidity</t>
  </si>
  <si>
    <t>Helios FP&amp;A forecast - summary (2026-09)</t>
  </si>
  <si>
    <t>Reconciliation accounts</t>
  </si>
  <si>
    <t>ARR</t>
  </si>
  <si>
    <t>DeferredRevenue</t>
  </si>
  <si>
    <t>TotalDebt</t>
  </si>
  <si>
    <t>AvailableLiquidity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</si>
</sst>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>
      <selection activeCell="A1" sqref="A1"/>
    </sheetView>
  </sheetViews>
  <sheetFormatPr defaultRowHeight="15"/>
  <sheetData>
    <row r="1">
      <c r="A1" t="s">
        <v>0</v>
      </c>
    </row>
    <row r="3">
      <c r="A3" t="s">
        <v>1</v>
      </c>
      <c r="B3">
        <v>4200000</v>
      </c>
    </row>
    <row r="4">
      <c r="A4" t="s">
        <v>2</v>
      </c>
      <c r="B4">
        <v>1.08</v>
      </c>
    </row>
    <row r="5">
      <c r="A5" t="s">
        <v>3</v>
      </c>
      <c r="B5">
        <v>0.021</v>
      </c>
    </row>
    <row r="6">
      <c r="A6" t="s">
        <v>4</v>
      </c>
      <c r="B6">
        <v>0.18</v>
      </c>
    </row>
    <row r="7">
      <c r="A7" t="s">
        <v>5</v>
      </c>
      <c r="B7">
        <v>125000000</v>
      </c>
    </row>
    <row r="8">
      <c r="A8" t="s">
        <v>6</v>
      </c>
      <c r="B8">
        <v>2500000</v>
      </c>
    </row>
    <row r="10">
      <c r="A10" t="s">
        <v>7</v>
      </c>
      <c r="B10" t="s">
        <v>8</v>
      </c>
    </row>
    <row r="11">
      <c r="A11" t="s">
        <v>9</v>
      </c>
      <c r="B11">
        <v>1880000</v>
      </c>
    </row>
    <row r="12">
      <c r="A12" t="s">
        <v>10</v>
      </c>
      <c r="B12">
        <v>1880000</v>
      </c>
    </row>
    <row r="13">
      <c r="A13" t="s">
        <v>11</v>
      </c>
      <c r="B13">
        <v>1905000</v>
      </c>
    </row>
    <row r="14">
      <c r="A14" t="s">
        <v>12</v>
      </c>
      <c r="B14">
        <v>1880000</v>
      </c>
    </row>
    <row r="15">
      <c r="A15" t="s">
        <v>13</v>
      </c>
      <c r="B15">
        <v>1880000</v>
      </c>
    </row>
    <row r="16">
      <c r="A16" t="s">
        <v>14</v>
      </c>
      <c r="B16">
        <v>1880000</v>
      </c>
    </row>
    <row r="17">
      <c r="A17" t="s">
        <v>15</v>
      </c>
      <c r="B17">
        <v>1880000</v>
      </c>
    </row>
    <row r="18">
      <c r="A18" t="s">
        <v>16</v>
      </c>
      <c r="B18">
        <v>1880000</v>
      </c>
    </row>
    <row r="19">
      <c r="A19" t="s">
        <v>17</v>
      </c>
      <c r="B19">
        <v>1880000</v>
      </c>
    </row>
    <row r="20">
      <c r="A20" t="s">
        <v>18</v>
      </c>
      <c r="B20">
        <v>1880000</v>
      </c>
    </row>
    <row r="21">
      <c r="A21" t="s">
        <v>19</v>
      </c>
      <c r="B21">
        <v>1860000</v>
      </c>
    </row>
    <row r="22">
      <c r="A22" t="s">
        <v>20</v>
      </c>
      <c r="B22">
        <v>1880000</v>
      </c>
    </row>
    <row r="23">
      <c r="A23" t="s">
        <v>21</v>
      </c>
      <c r="B23">
        <v>1880000</v>
      </c>
    </row>
    <row r="24">
      <c r="A24" t="s">
        <v>22</v>
      </c>
      <c r="B24">
        <v>1880000</v>
      </c>
    </row>
    <row r="25">
      <c r="A25" t="s">
        <v>23</v>
      </c>
      <c r="B25">
        <v>1880000</v>
      </c>
    </row>
    <row r="26">
      <c r="A26" t="s">
        <v>24</v>
      </c>
      <c r="B26">
        <v>1880000</v>
      </c>
    </row>
    <row r="27">
      <c r="A27" t="s">
        <v>25</v>
      </c>
      <c r="B27">
        <v>1880000</v>
      </c>
    </row>
    <row r="28">
      <c r="A28" t="s">
        <v>26</v>
      </c>
      <c r="B28">
        <v>1880000</v>
      </c>
    </row>
    <row r="29">
      <c r="A29" t="s">
        <v>27</v>
      </c>
      <c r="B29">
        <v>1880000</v>
      </c>
    </row>
    <row r="30">
      <c r="A30" t="s">
        <v>28</v>
      </c>
      <c r="B30">
        <v>1880000</v>
      </c>
    </row>
    <row r="31">
      <c r="A31" t="s">
        <v>29</v>
      </c>
      <c r="B31">
        <v>1880000</v>
      </c>
    </row>
    <row r="32">
      <c r="A32" t="s">
        <v>30</v>
      </c>
      <c r="B32">
        <v>1880000</v>
      </c>
    </row>
    <row r="33">
      <c r="A33" t="s">
        <v>31</v>
      </c>
      <c r="B33">
        <v>1880000</v>
      </c>
    </row>
    <row r="34">
      <c r="A34" t="s">
        <v>32</v>
      </c>
      <c r="B34">
        <v>1880000</v>
      </c>
    </row>
    <row r="36">
      <c r="A36" t="s">
        <v>33</v>
      </c>
      <c r="B36">
        <f>SUM(B11:B34)</f>
        <v>45125000</v>
      </c>
    </row>
    <row r="37">
      <c r="A37" t="s">
        <v>34</v>
      </c>
      <c r="B37">
        <f>B3*B5</f>
        <v>88200</v>
      </c>
    </row>
    <row r="38">
      <c r="A38" t="s">
        <v>35</v>
      </c>
      <c r="B38">
        <f>B3*(B4-1)</f>
        <v>336000.0000000003</v>
      </c>
    </row>
    <row r="39">
      <c r="A39" t="s">
        <v>36</v>
      </c>
      <c r="B39">
        <f>(B36+B38-B37)*12</f>
        <v>544473600</v>
      </c>
    </row>
    <row r="40">
      <c r="A40" t="s">
        <v>37</v>
      </c>
      <c r="B40">
        <f>B8*0.95</f>
        <v>2375000</v>
      </c>
    </row>
    <row r="41">
      <c r="A41" t="s">
        <v>38</v>
      </c>
      <c r="B41">
        <f>B36*B6</f>
        <v>8122500</v>
      </c>
    </row>
    <row r="42">
      <c r="A42" t="s">
        <v>39</v>
      </c>
      <c r="B42">
        <v>25000000</v>
      </c>
    </row>
    <row r="43">
      <c r="A43" t="s">
        <v>40</v>
      </c>
      <c r="B43">
        <f>B7-B42</f>
        <v>100000000</v>
      </c>
    </row>
    <row r="44">
      <c r="A44" t="s">
        <v>41</v>
      </c>
      <c r="B44">
        <f>B40+B8</f>
        <v>4875000</v>
      </c>
    </row>
  </sheetData>
  <pageMargins left="0.699999988079071" right="0.699999988079071" top="0.75" bottom="0.75" header="0.30000001192092896" footer="0.30000001192092896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selection activeCell="A1" sqref="A1"/>
    </sheetView>
  </sheetViews>
  <sheetFormatPr defaultRowHeight="15"/>
  <sheetData>
    <row r="1">
      <c r="A1" t="s">
        <v>42</v>
      </c>
    </row>
    <row r="9">
      <c r="A9" t="s">
        <v>43</v>
      </c>
    </row>
    <row r="10">
      <c r="A10" t="s">
        <v>37</v>
      </c>
      <c r="B10">
        <f>Assumptions!B40</f>
        <v>2375000</v>
      </c>
    </row>
    <row r="11">
      <c r="A11" t="s">
        <v>44</v>
      </c>
      <c r="B11">
        <f>Assumptions!B39</f>
        <v>544473600</v>
      </c>
    </row>
    <row r="12">
      <c r="A12" t="s">
        <v>45</v>
      </c>
      <c r="B12">
        <f>Assumptions!B41</f>
        <v>8122500</v>
      </c>
    </row>
    <row r="13">
      <c r="A13" t="s">
        <v>46</v>
      </c>
      <c r="B13">
        <f>Assumptions!B43</f>
        <v>100000000</v>
      </c>
    </row>
    <row r="14">
      <c r="A14" t="s">
        <v>47</v>
      </c>
      <c r="B14">
        <f>Assumptions!B44</f>
        <v>4875000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