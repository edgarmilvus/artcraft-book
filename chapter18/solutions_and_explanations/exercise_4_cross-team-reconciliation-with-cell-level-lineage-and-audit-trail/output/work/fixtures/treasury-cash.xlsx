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CashPosition" sheetId="1" r:id="rId1"/>
  </sheets>
  <calcPr calcId="191029"/>
</workbook>
</file>

<file path=xl/sharedStrings.xml><?xml version="1.0" encoding="utf-8"?>
<sst xmlns="http://schemas.openxmlformats.org/spreadsheetml/2006/main" count="15" uniqueCount="15">
  <si>
    <t>Helios treasury cash position - 2026-09</t>
  </si>
  <si>
    <t>Balances</t>
  </si>
  <si>
    <t>2026-09</t>
  </si>
  <si>
    <t>Operating cash</t>
  </si>
  <si>
    <t>Undrawn revolver</t>
  </si>
  <si>
    <t>Deferred revenue held</t>
  </si>
  <si>
    <t>Gross debt (reported)</t>
  </si>
  <si>
    <t>September revenue</t>
  </si>
  <si>
    <t>Cash</t>
  </si>
  <si>
    <t>ARR</t>
  </si>
  <si>
    <t>DeferredRevenue</t>
  </si>
  <si>
    <t>TotalDebt</t>
  </si>
  <si>
    <t>AvailableLiquidity</t>
  </si>
  <si>
    <t>FX translation on the euro tranche</t>
  </si>
  <si>
    <t>Debt principal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</si>
</sst>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A1" sqref="A1"/>
    </sheetView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>
        <v>2375000</v>
      </c>
    </row>
    <row r="5">
      <c r="A5" t="s">
        <v>4</v>
      </c>
      <c r="B5">
        <v>2500000</v>
      </c>
    </row>
    <row r="6">
      <c r="A6" t="s">
        <v>5</v>
      </c>
      <c r="B6">
        <v>8122500.4</v>
      </c>
    </row>
    <row r="7">
      <c r="A7" t="s">
        <v>6</v>
      </c>
      <c r="B7">
        <f>B20+B21</f>
        <v>100000000.2501</v>
      </c>
    </row>
    <row r="8">
      <c r="A8" t="s">
        <v>7</v>
      </c>
      <c r="B8">
        <v>45480000</v>
      </c>
    </row>
    <row r="9">
      <c r="A9" t="s">
        <v>8</v>
      </c>
      <c r="C9">
        <f>B4</f>
        <v>2375000</v>
      </c>
    </row>
    <row r="10">
      <c r="A10" t="s">
        <v>9</v>
      </c>
      <c r="C10">
        <f>B8*12</f>
        <v>545760000</v>
      </c>
    </row>
    <row r="11">
      <c r="A11" t="s">
        <v>10</v>
      </c>
      <c r="C11">
        <f>B6</f>
        <v>8122500.4</v>
      </c>
    </row>
    <row r="12">
      <c r="A12" t="s">
        <v>11</v>
      </c>
      <c r="C12">
        <f>B7</f>
        <v>100000000.2501</v>
      </c>
    </row>
    <row r="13">
      <c r="A13" t="s">
        <v>12</v>
      </c>
      <c r="C13">
        <f>B4+B5</f>
        <v>4875000</v>
      </c>
    </row>
    <row r="20">
      <c r="A20" t="s">
        <v>13</v>
      </c>
      <c r="B20">
        <v>0.2501</v>
      </c>
    </row>
    <row r="21">
      <c r="A21" t="s">
        <v>14</v>
      </c>
      <c r="B21">
        <v>100000000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