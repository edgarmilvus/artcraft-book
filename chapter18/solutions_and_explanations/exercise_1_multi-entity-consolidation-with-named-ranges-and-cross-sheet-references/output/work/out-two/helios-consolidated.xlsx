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onsolidated" sheetId="1" r:id="rId1"/>
    <sheet name="Helios-US" sheetId="2" r:id="rId2"/>
    <sheet name="Helios-EU" sheetId="3" r:id="rId3"/>
    <sheet name="Helios-APAC" sheetId="4" r:id="rId4"/>
    <sheet name="Helios-LATAM" sheetId="5" r:id="rId5"/>
    <sheet name="FX" sheetId="6" r:id="rId6"/>
    <sheet name="Eliminations" sheetId="7" r:id="rId7"/>
  </sheets>
  <definedNames>
    <definedName name="Helios_US.Amount.Rev_Net" comment="Helios-US / Rev.Net (4000)">'Helios-US'!$C$2</definedName>
    <definedName name="Helios_US.Amount.Rev_FederalRDCredit" comment="Helios-US / Rev.FederalRDCredit (RND-US)">'Helios-US'!$C$3</definedName>
    <definedName name="Helios_US.Amount.Cost_COGS" comment="Helios-US / Cost.COGS (5000)">'Helios-US'!$C$4</definedName>
    <definedName name="Helios_US.Amount.Cost_OpEx" comment="Helios-US / Cost.OpEx (6000)">'Helios-US'!$C$5</definedName>
    <definedName name="Helios_EU.Amount.Rev_Net" comment="Helios-EU / Rev.Net (4000)">'Helios-EU'!$C$2</definedName>
    <definedName name="Helios_EU.Amount.Rev_IPBoxRelief" comment="Helios-EU / Rev.IPBoxRelief (IPBOX-EU)">'Helios-EU'!$C$3</definedName>
    <definedName name="Helios_EU.Amount.Cost_COGS" comment="Helios-EU / Cost.COGS (5000)">'Helios-EU'!$C$4</definedName>
    <definedName name="Helios_EU.Amount.Cost_OpEx" comment="Helios-EU / Cost.OpEx (6000)">'Helios-EU'!$C$5</definedName>
    <definedName name="Helios_APAC.Amount.Rev_Net" comment="Helios-APAC / Rev.Net (4000)">'Helios-APAC'!$C$2</definedName>
    <definedName name="Helios_APAC.Amount.Rev_FTCGrantIncome" comment="Helios-APAC / Rev.FTCGrantIncome (FTC-APAC)">'Helios-APAC'!$C$3</definedName>
    <definedName name="Helios_APAC.Amount.Cost_COGS" comment="Helios-APAC / Cost.COGS (5000)">'Helios-APAC'!$C$4</definedName>
    <definedName name="Helios_APAC.Amount.Cost_OpEx" comment="Helios-APAC / Cost.OpEx (6000)">'Helios-APAC'!$C$5</definedName>
    <definedName name="Helios_LATAM.Amount.Rev_Net" comment="Helios-LATAM / Rev.Net (4000)">'Helios-LATAM'!$C$2</definedName>
    <definedName name="Helios_LATAM.Amount.Rev_ICMSRecovery" comment="Helios-LATAM / Rev.ICMSRecovery (ICMS-LATAM)">'Helios-LATAM'!$C$3</definedName>
    <definedName name="Helios_LATAM.Amount.Cost_COGS" comment="Helios-LATAM / Cost.COGS (5000)">'Helios-LATAM'!$C$4</definedName>
    <definedName name="Helios_LATAM.Amount.Cost_OpEx" comment="Helios-LATAM / Cost.OpEx (6000)">'Helios-LATAM'!$C$5</definedName>
    <definedName name="FX.EUR.USD" comment="EUR-&gt;USD 2026-09">FX!$D$2</definedName>
    <definedName name="FX.SGD.USD" comment="SGD-&gt;USD 2026-09">FX!$D$3</definedName>
    <definedName name="FX.BRL.USD" comment="BRL-&gt;USD 2026-09">FX!$D$4</definedName>
    <definedName name="FX.Table" comment="the month-end FX table">FX!$A$2:$D$4</definedName>
    <definedName name="Eliminations.Rows" comment="the intercompany eliminations">Eliminations!$A$2:$D$4</definedName>
    <definedName name="Eliminations.TotalUSD" comment="the intercompany eliminations, in USD">Eliminations!$D$2:$D$4</definedName>
    <definedName name="Consolidated.Lines" comment="the consolidated rollup lines">Consolidated!$B$2:$B$8</definedName>
    <definedName name="Consolidated.Elimination" comment="the intercompany elimination, as consolidated">Consolidated!$B$9</definedName>
    <definedName name="Consolidated.Total" comment="the consolidated result, in USD">Consolidated!$B$10</definedName>
  </definedNames>
  <calcPr calcId="191029"/>
</workbook>
</file>

<file path=xl/sharedStrings.xml><?xml version="1.0" encoding="utf-8"?>
<sst xmlns="http://schemas.openxmlformats.org/spreadsheetml/2006/main" count="106" uniqueCount="42">
  <si>
    <t>Canonical Account</t>
  </si>
  <si>
    <t>Consolidated (USD)</t>
  </si>
  <si>
    <t>Rev.Net</t>
  </si>
  <si>
    <t>Rev.FederalRDCredit</t>
  </si>
  <si>
    <t>Rev.IPBoxRelief</t>
  </si>
  <si>
    <t>Rev.FTCGrantIncome</t>
  </si>
  <si>
    <t>Rev.ICMSRecovery</t>
  </si>
  <si>
    <t>Cost.COGS</t>
  </si>
  <si>
    <t>Cost.OpEx</t>
  </si>
  <si>
    <t>Intercompany Elimination</t>
  </si>
  <si>
    <t>Consolidated Total</t>
  </si>
  <si>
    <t>account_code</t>
  </si>
  <si>
    <t>account_label</t>
  </si>
  <si>
    <t>amount_local</t>
  </si>
  <si>
    <t>currency</t>
  </si>
  <si>
    <t>period</t>
  </si>
  <si>
    <t>Net Revenue</t>
  </si>
  <si>
    <t>USD</t>
  </si>
  <si>
    <t>2026-09</t>
  </si>
  <si>
    <t>RND-US</t>
  </si>
  <si>
    <t>Federal R&amp;D Credit</t>
  </si>
  <si>
    <t>Cost of Goods Sold</t>
  </si>
  <si>
    <t>Operating Expenses</t>
  </si>
  <si>
    <t>EUR</t>
  </si>
  <si>
    <t>IPBOX-EU</t>
  </si>
  <si>
    <t>IP Box Relief</t>
  </si>
  <si>
    <t>SGD</t>
  </si>
  <si>
    <t>FTC-APAC</t>
  </si>
  <si>
    <t>FTC Grant Income</t>
  </si>
  <si>
    <t>BRL</t>
  </si>
  <si>
    <t>ICMS-LATAM</t>
  </si>
  <si>
    <t>ICMS Recovery</t>
  </si>
  <si>
    <t>from</t>
  </si>
  <si>
    <t>to</t>
  </si>
  <si>
    <t>rate</t>
  </si>
  <si>
    <t>from_entity</t>
  </si>
  <si>
    <t>to_entity</t>
  </si>
  <si>
    <t>amount_usd</t>
  </si>
  <si>
    <t>Helios-EU</t>
  </si>
  <si>
    <t>Helios-US</t>
  </si>
  <si>
    <t>Helios-APAC</t>
  </si>
  <si>
    <t>Helios-LATAM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</si>
</sst>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" totalsRowShown="0">
  <autoFilter ref="A1:E5"/>
  <tableColumns count="5">
    <tableColumn id="1" name="account_code"/>
    <tableColumn id="2" name="account_label"/>
    <tableColumn id="3" name="amount_local"/>
    <tableColumn id="4" name="currency"/>
    <tableColumn id="5" name="peri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" totalsRowShown="0">
  <autoFilter ref="A1:E5"/>
  <tableColumns count="5">
    <tableColumn id="1" name="account_code"/>
    <tableColumn id="2" name="account_label"/>
    <tableColumn id="3" name="amount_local"/>
    <tableColumn id="4" name="currency"/>
    <tableColumn id="5" name="peri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5" totalsRowShown="0">
  <autoFilter ref="A1:E5"/>
  <tableColumns count="5">
    <tableColumn id="1" name="account_code"/>
    <tableColumn id="2" name="account_label"/>
    <tableColumn id="3" name="amount_local"/>
    <tableColumn id="4" name="currency"/>
    <tableColumn id="5" name="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5" totalsRowShown="0">
  <autoFilter ref="A1:E5"/>
  <tableColumns count="5">
    <tableColumn id="1" name="account_code"/>
    <tableColumn id="2" name="account_label"/>
    <tableColumn id="3" name="amount_local"/>
    <tableColumn id="4" name="currency"/>
    <tableColumn id="5" name="peri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4" totalsRowShown="0">
  <autoFilter ref="A1:D4"/>
  <tableColumns count="4">
    <tableColumn id="1" name="from"/>
    <tableColumn id="2" name="to"/>
    <tableColumn id="3" name="period"/>
    <tableColumn id="4" name="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4" totalsRowShown="0">
  <autoFilter ref="A1:D4"/>
  <tableColumns count="4">
    <tableColumn id="1" name="from_entity"/>
    <tableColumn id="2" name="to_entity"/>
    <tableColumn id="3" name="account_code"/>
    <tableColumn id="4" name="amoun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1" sqref="A1"/>
    </sheetView>
  </sheetViews>
  <sheetFormatPr defaultRowHeight="15"/>
  <sheetData>
    <row r="1">
      <c r="A1" s="1" t="s">
        <v>0</v>
      </c>
      <c r="B1" s="1" t="s">
        <v>1</v>
      </c>
    </row>
    <row r="2">
      <c r="A2" t="s">
        <v>2</v>
      </c>
      <c r="B2" s="2">
        <f>Helios_US.Amount.Rev_Net+(Helios_EU.Amount.Rev_Net*FX.EUR.USD)+(Helios_APAC.Amount.Rev_Net*FX.SGD.USD)+(Helios_LATAM.Amount.Rev_Net*FX.BRL.USD)</f>
        <v>10511844</v>
      </c>
    </row>
    <row r="3">
      <c r="A3" t="s">
        <v>3</v>
      </c>
      <c r="B3" s="2">
        <f>Helios_US.Amount.Rev_FederalRDCredit</f>
        <v>75000</v>
      </c>
    </row>
    <row r="4">
      <c r="A4" t="s">
        <v>4</v>
      </c>
      <c r="B4" s="2">
        <f>(Helios_EU.Amount.Rev_IPBoxRelief*FX.EUR.USD)</f>
        <v>45536.4</v>
      </c>
    </row>
    <row r="5">
      <c r="A5" t="s">
        <v>5</v>
      </c>
      <c r="B5" s="2">
        <f>(Helios_APAC.Amount.Rev_FTCGrantIncome*FX.SGD.USD)</f>
        <v>13719.6</v>
      </c>
    </row>
    <row r="6">
      <c r="A6" t="s">
        <v>6</v>
      </c>
      <c r="B6" s="2">
        <f>(Helios_LATAM.Amount.Rev_ICMSRecovery*FX.BRL.USD)</f>
        <v>47398</v>
      </c>
    </row>
    <row r="7">
      <c r="A7" t="s">
        <v>7</v>
      </c>
      <c r="B7" s="2">
        <f>Helios_US.Amount.Cost_COGS+(Helios_EU.Amount.Cost_COGS*FX.EUR.USD)+(Helios_APAC.Amount.Cost_COGS*FX.SGD.USD)+(Helios_LATAM.Amount.Cost_COGS*FX.BRL.USD)</f>
        <v>-2920273</v>
      </c>
    </row>
    <row r="8">
      <c r="A8" t="s">
        <v>8</v>
      </c>
      <c r="B8" s="2">
        <f>Helios_US.Amount.Cost_OpEx+(Helios_EU.Amount.Cost_OpEx*FX.EUR.USD)+(Helios_APAC.Amount.Cost_OpEx*FX.SGD.USD)+(Helios_LATAM.Amount.Cost_OpEx*FX.BRL.USD)</f>
        <v>-1646682</v>
      </c>
    </row>
    <row r="9">
      <c r="A9" t="s">
        <v>9</v>
      </c>
      <c r="B9" s="2">
        <f>-SUM(Eliminations.TotalUSD)</f>
        <v>-367000</v>
      </c>
    </row>
    <row r="10">
      <c r="A10" t="s">
        <v>10</v>
      </c>
      <c r="B10" s="2">
        <f>SUM(Consolidated.Lines)+Consolidated.Elimination</f>
        <v>5759543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A1" sqref="A1"/>
    </sheetView>
  </sheetViews>
  <sheetFormatPr defaultRowHeight="15"/>
  <cols>
    <col min="1" max="1" width="16.140625" customWidth="1"/>
    <col min="2" max="2" width="19.7109375" customWidth="1"/>
    <col min="3" max="3" width="15.7109375" customWidth="1"/>
    <col min="4" max="4" width="11.421875" customWidth="1"/>
    <col min="5" max="5" width="9.00390625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>
        <v>4000</v>
      </c>
      <c r="B2" t="s">
        <v>16</v>
      </c>
      <c r="C2" s="2">
        <v>4250000</v>
      </c>
      <c r="D2" t="s">
        <v>17</v>
      </c>
      <c r="E2" t="s">
        <v>18</v>
      </c>
    </row>
    <row r="3">
      <c r="A3" t="s">
        <v>19</v>
      </c>
      <c r="B3" t="s">
        <v>20</v>
      </c>
      <c r="C3" s="2">
        <v>75000</v>
      </c>
      <c r="D3" t="s">
        <v>17</v>
      </c>
      <c r="E3" t="s">
        <v>18</v>
      </c>
    </row>
    <row r="4">
      <c r="A4">
        <v>5000</v>
      </c>
      <c r="B4" t="s">
        <v>21</v>
      </c>
      <c r="C4" s="2">
        <v>-1180000</v>
      </c>
      <c r="D4" t="s">
        <v>17</v>
      </c>
      <c r="E4" t="s">
        <v>18</v>
      </c>
    </row>
    <row r="5">
      <c r="A5">
        <v>6000</v>
      </c>
      <c r="B5" t="s">
        <v>22</v>
      </c>
      <c r="C5" s="2">
        <v>-640000</v>
      </c>
      <c r="D5" t="s">
        <v>17</v>
      </c>
      <c r="E5" t="s">
        <v>18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A1" sqref="A1"/>
    </sheetView>
  </sheetViews>
  <sheetFormatPr defaultRowHeight="15"/>
  <cols>
    <col min="1" max="1" width="16.140625" customWidth="1"/>
    <col min="2" max="2" width="19.7109375" customWidth="1"/>
    <col min="3" max="3" width="15.7109375" customWidth="1"/>
    <col min="4" max="4" width="11.421875" customWidth="1"/>
    <col min="5" max="5" width="9.00390625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>
        <v>4000</v>
      </c>
      <c r="B2" t="s">
        <v>16</v>
      </c>
      <c r="C2" s="2">
        <v>3100000</v>
      </c>
      <c r="D2" t="s">
        <v>23</v>
      </c>
      <c r="E2" t="s">
        <v>18</v>
      </c>
    </row>
    <row r="3">
      <c r="A3" t="s">
        <v>24</v>
      </c>
      <c r="B3" t="s">
        <v>25</v>
      </c>
      <c r="C3" s="2">
        <v>42000</v>
      </c>
      <c r="D3" t="s">
        <v>23</v>
      </c>
      <c r="E3" t="s">
        <v>18</v>
      </c>
    </row>
    <row r="4">
      <c r="A4">
        <v>5000</v>
      </c>
      <c r="B4" t="s">
        <v>21</v>
      </c>
      <c r="C4" s="2">
        <v>-860000</v>
      </c>
      <c r="D4" t="s">
        <v>23</v>
      </c>
      <c r="E4" t="s">
        <v>18</v>
      </c>
    </row>
    <row r="5">
      <c r="A5">
        <v>6000</v>
      </c>
      <c r="B5" t="s">
        <v>22</v>
      </c>
      <c r="C5" s="2">
        <v>-470000</v>
      </c>
      <c r="D5" t="s">
        <v>23</v>
      </c>
      <c r="E5" t="s">
        <v>18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A1" sqref="A1"/>
    </sheetView>
  </sheetViews>
  <sheetFormatPr defaultRowHeight="15"/>
  <cols>
    <col min="1" max="1" width="16.140625" customWidth="1"/>
    <col min="2" max="2" width="19.7109375" customWidth="1"/>
    <col min="3" max="3" width="15.7109375" customWidth="1"/>
    <col min="4" max="4" width="11.421875" customWidth="1"/>
    <col min="5" max="5" width="9.00390625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>
        <v>4000</v>
      </c>
      <c r="B2" t="s">
        <v>16</v>
      </c>
      <c r="C2" s="2">
        <v>2240000</v>
      </c>
      <c r="D2" t="s">
        <v>26</v>
      </c>
      <c r="E2" t="s">
        <v>18</v>
      </c>
    </row>
    <row r="3">
      <c r="A3" t="s">
        <v>27</v>
      </c>
      <c r="B3" t="s">
        <v>28</v>
      </c>
      <c r="C3" s="2">
        <v>18500</v>
      </c>
      <c r="D3" t="s">
        <v>26</v>
      </c>
      <c r="E3" t="s">
        <v>18</v>
      </c>
    </row>
    <row r="4">
      <c r="A4">
        <v>5000</v>
      </c>
      <c r="B4" t="s">
        <v>21</v>
      </c>
      <c r="C4" s="2">
        <v>-610000</v>
      </c>
      <c r="D4" t="s">
        <v>26</v>
      </c>
      <c r="E4" t="s">
        <v>18</v>
      </c>
    </row>
    <row r="5">
      <c r="A5">
        <v>6000</v>
      </c>
      <c r="B5" t="s">
        <v>22</v>
      </c>
      <c r="C5" s="2">
        <v>-395000</v>
      </c>
      <c r="D5" t="s">
        <v>26</v>
      </c>
      <c r="E5" t="s">
        <v>18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A1" sqref="A1"/>
    </sheetView>
  </sheetViews>
  <sheetFormatPr defaultRowHeight="15"/>
  <cols>
    <col min="1" max="1" width="16.140625" customWidth="1"/>
    <col min="2" max="2" width="19.7109375" customWidth="1"/>
    <col min="3" max="3" width="15.7109375" customWidth="1"/>
    <col min="4" max="4" width="11.421875" customWidth="1"/>
    <col min="5" max="5" width="9.00390625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>
        <v>4000</v>
      </c>
      <c r="B2" t="s">
        <v>16</v>
      </c>
      <c r="C2" s="2">
        <v>6800000</v>
      </c>
      <c r="D2" t="s">
        <v>29</v>
      </c>
      <c r="E2" t="s">
        <v>18</v>
      </c>
    </row>
    <row r="3">
      <c r="A3" t="s">
        <v>30</v>
      </c>
      <c r="B3" t="s">
        <v>31</v>
      </c>
      <c r="C3" s="2">
        <v>260000</v>
      </c>
      <c r="D3" t="s">
        <v>29</v>
      </c>
      <c r="E3" t="s">
        <v>18</v>
      </c>
    </row>
    <row r="4">
      <c r="A4">
        <v>5000</v>
      </c>
      <c r="B4" t="s">
        <v>21</v>
      </c>
      <c r="C4" s="2">
        <v>-1950000</v>
      </c>
      <c r="D4" t="s">
        <v>29</v>
      </c>
      <c r="E4" t="s">
        <v>18</v>
      </c>
    </row>
    <row r="5">
      <c r="A5">
        <v>6000</v>
      </c>
      <c r="B5" t="s">
        <v>22</v>
      </c>
      <c r="C5" s="2">
        <v>-1120000</v>
      </c>
      <c r="D5" t="s">
        <v>29</v>
      </c>
      <c r="E5" t="s">
        <v>18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A1" sqref="A1"/>
    </sheetView>
  </sheetViews>
  <sheetFormatPr defaultRowHeight="15"/>
  <cols>
    <col min="1" max="1" width="7.7109375" customWidth="1"/>
    <col min="2" max="2" width="5.140625" customWidth="1"/>
    <col min="3" max="3" width="9.00390625" customWidth="1"/>
    <col min="4" max="4" width="7.421875" customWidth="1"/>
  </cols>
  <sheetData>
    <row r="1">
      <c r="A1" s="1" t="s">
        <v>32</v>
      </c>
      <c r="B1" s="1" t="s">
        <v>33</v>
      </c>
      <c r="C1" s="1" t="s">
        <v>15</v>
      </c>
      <c r="D1" s="1" t="s">
        <v>34</v>
      </c>
    </row>
    <row r="2">
      <c r="A2" t="s">
        <v>23</v>
      </c>
      <c r="B2" t="s">
        <v>17</v>
      </c>
      <c r="C2" t="s">
        <v>18</v>
      </c>
      <c r="D2" s="3">
        <v>1.0842</v>
      </c>
    </row>
    <row r="3">
      <c r="A3" t="s">
        <v>26</v>
      </c>
      <c r="B3" t="s">
        <v>17</v>
      </c>
      <c r="C3" t="s">
        <v>18</v>
      </c>
      <c r="D3" s="3">
        <v>0.7416</v>
      </c>
    </row>
    <row r="4">
      <c r="A4" t="s">
        <v>29</v>
      </c>
      <c r="B4" t="s">
        <v>17</v>
      </c>
      <c r="C4" t="s">
        <v>18</v>
      </c>
      <c r="D4" s="3">
        <v>0.1823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A1" sqref="A1"/>
    </sheetView>
  </sheetViews>
  <sheetFormatPr defaultRowHeight="15"/>
  <cols>
    <col min="1" max="1" width="14.7109375" customWidth="1"/>
    <col min="2" max="2" width="11.7109375" customWidth="1"/>
    <col min="3" max="3" width="16.140625" customWidth="1"/>
    <col min="4" max="4" width="14.57421875" customWidth="1"/>
  </cols>
  <sheetData>
    <row r="1">
      <c r="A1" s="1" t="s">
        <v>35</v>
      </c>
      <c r="B1" s="1" t="s">
        <v>36</v>
      </c>
      <c r="C1" s="1" t="s">
        <v>11</v>
      </c>
      <c r="D1" s="1" t="s">
        <v>37</v>
      </c>
    </row>
    <row r="2">
      <c r="A2" t="s">
        <v>38</v>
      </c>
      <c r="B2" t="s">
        <v>39</v>
      </c>
      <c r="C2">
        <v>4000</v>
      </c>
      <c r="D2" s="2">
        <v>240000</v>
      </c>
    </row>
    <row r="3">
      <c r="A3" t="s">
        <v>40</v>
      </c>
      <c r="B3" t="s">
        <v>39</v>
      </c>
      <c r="C3">
        <v>4000</v>
      </c>
      <c r="D3" s="2">
        <v>86000</v>
      </c>
    </row>
    <row r="4">
      <c r="A4" t="s">
        <v>41</v>
      </c>
      <c r="B4" t="s">
        <v>39</v>
      </c>
      <c r="C4">
        <v>4000</v>
      </c>
      <c r="D4" s="2">
        <v>41000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  <Company>Helios Systems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Helios Consolidated P&amp;L</dc:title>
  <dc:creator>Helios Systems Finance</dc:creator>
</cp:coreProperties>
</file>