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4"/>
  </bookViews>
  <sheets>
    <sheet name="Assumptions" sheetId="1" r:id="rId1"/>
    <sheet name="Debt Schedule" sheetId="2" r:id="rId2"/>
    <sheet name="Interest" sheetId="3" r:id="rId3"/>
    <sheet name="Cash Flow" sheetId="4" r:id="rId4"/>
    <sheet name="Rollforward" sheetId="5" r:id="rId5"/>
    <sheet name="Iterative Block" sheetId="6" r:id="rId6"/>
  </sheets>
  <definedNames>
    <definedName name="Interest.Charge">Interest.Expense</definedName>
    <definedName name="Interest.Expense">Interest!$B$13</definedName>
  </definedNames>
  <calcPr calcId="191029"/>
</workbook>
</file>

<file path=xl/comments1.xml><?xml version="1.0" encoding="utf-8"?>
<comments xmlns="http://schemas.openxmlformats.org/spreadsheetml/2006/main">
  <authors>
    <author>circular-forensics</author>
  </authors>
  <commentList>
    <comment ref="B12" authorId="0">
      <text>
        <r>
          <t>AUDIT-BREAK cycle-001 | lag-opening-balance: the closing reference 'Debt Schedule'!B14 is replaced by its opening counterpart 'Debt Schedule'!B11 | see remediation-report.json</t>
        </r>
      </text>
    </comment>
    <comment ref="C12" authorId="0">
      <text>
        <r>
          <t>AUDIT-BREAK cycle-002 | lag-opening-balance: the closing reference 'Debt Schedule'!C14 is replaced by its opening counterpart 'Debt Schedule'!C11 | see remediation-report.json</t>
        </r>
      </text>
    </comment>
  </commentList>
</comments>
</file>

<file path=xl/comments2.xml><?xml version="1.0" encoding="utf-8"?>
<comments xmlns="http://schemas.openxmlformats.org/spreadsheetml/2006/main">
  <authors>
    <author>circular-forensics</author>
  </authors>
  <commentList>
    <comment ref="C13" authorId="0">
      <text>
        <r>
          <t>AUDIT-BREAK cycle-005 | trim-rolling-window: the rolling window C11:C13 contains the cell itself, so it is trimmed to C11:C12 | see remediation-report.json</t>
        </r>
      </text>
    </comment>
  </commentList>
</comments>
</file>

<file path=xl/comments3.xml><?xml version="1.0" encoding="utf-8"?>
<comments xmlns="http://schemas.openxmlformats.org/spreadsheetml/2006/main">
  <authors>
    <author>legacy model</author>
  </authors>
  <commentList>
    <comment ref="B11" authorId="0">
      <text>
        <r>
          <t>ITERATIVE CALC: the model solves this block by iteration; enable iterative calculation in Formulas &gt; Calculation Options</t>
        </r>
      </text>
    </comment>
  </commentList>
</comments>
</file>

<file path=xl/sharedStrings.xml><?xml version="1.0" encoding="utf-8"?>
<sst xmlns="http://schemas.openxmlformats.org/spreadsheetml/2006/main" count="40" uniqueCount="30">
  <si>
    <t>Helios legacy plan - assumptions</t>
  </si>
  <si>
    <t>Interest rate (average debt)</t>
  </si>
  <si>
    <t>Opening debt FY24</t>
  </si>
  <si>
    <t>Scheduled repayment FY24</t>
  </si>
  <si>
    <t>EBITDA FY24</t>
  </si>
  <si>
    <t>EBITDA FY25</t>
  </si>
  <si>
    <t>Helios legacy plan - debt schedule</t>
  </si>
  <si>
    <t>Debt roll-forward</t>
  </si>
  <si>
    <t>FY24</t>
  </si>
  <si>
    <t>FY25</t>
  </si>
  <si>
    <t>Beginning Debt Balance</t>
  </si>
  <si>
    <t>Interest Expense</t>
  </si>
  <si>
    <t>Free Cash Sweep</t>
  </si>
  <si>
    <t>Ending Debt Balance</t>
  </si>
  <si>
    <t>Helios legacy plan - interest</t>
  </si>
  <si>
    <t>Interest schedule</t>
  </si>
  <si>
    <t>Interest rate</t>
  </si>
  <si>
    <t>Average Debt Balance</t>
  </si>
  <si>
    <t>Helios legacy plan - cash flow</t>
  </si>
  <si>
    <t>Cash flow statement</t>
  </si>
  <si>
    <t>EBITDA</t>
  </si>
  <si>
    <t>Free Cash Flow</t>
  </si>
  <si>
    <t>Total interest (named)</t>
  </si>
  <si>
    <t>Helios legacy plan - cash roll-forward</t>
  </si>
  <si>
    <t>Rolling cash balance</t>
  </si>
  <si>
    <t>Opening Balance</t>
  </si>
  <si>
    <t>Net Movement</t>
  </si>
  <si>
    <t>Closing Balance</t>
  </si>
  <si>
    <t>Helios legacy plan - iterative block</t>
  </si>
  <si>
    <t>Converging 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</si>
</sst>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>
        <v>0.06</v>
      </c>
    </row>
    <row r="4">
      <c r="A4" t="s">
        <v>2</v>
      </c>
      <c r="B4">
        <v>1000</v>
      </c>
    </row>
    <row r="5">
      <c r="A5" t="s">
        <v>3</v>
      </c>
      <c r="B5">
        <v>-250</v>
      </c>
    </row>
    <row r="6">
      <c r="A6" t="s">
        <v>4</v>
      </c>
      <c r="B6">
        <v>400</v>
      </c>
    </row>
    <row r="7">
      <c r="A7" t="s">
        <v>5</v>
      </c>
      <c r="B7">
        <v>430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5"/>
  <sheetData>
    <row r="1">
      <c r="A1" t="s">
        <v>6</v>
      </c>
    </row>
    <row r="10">
      <c r="A10" t="s">
        <v>7</v>
      </c>
      <c r="B10" t="s">
        <v>8</v>
      </c>
      <c r="C10" t="s">
        <v>9</v>
      </c>
    </row>
    <row r="11">
      <c r="A11" t="s">
        <v>10</v>
      </c>
      <c r="B11">
        <f>Assumptions!B4</f>
        <v>1000</v>
      </c>
      <c r="C11">
        <f>B14</f>
        <v>720</v>
      </c>
    </row>
    <row r="12">
      <c r="A12" t="s">
        <v>11</v>
      </c>
      <c r="B12">
        <f>Interest!B13</f>
        <v>60</v>
      </c>
      <c r="C12">
        <f>Interest!C13</f>
        <v>43.199999999999996</v>
      </c>
    </row>
    <row r="13">
      <c r="A13" t="s">
        <v>12</v>
      </c>
      <c r="B13">
        <f>-'Cash Flow'!B12</f>
        <v>-340</v>
      </c>
      <c r="C13">
        <f>-'Cash Flow'!C12</f>
        <v>-386.8</v>
      </c>
    </row>
    <row r="14">
      <c r="A14" t="s">
        <v>13</v>
      </c>
      <c r="B14">
        <f>B11+B12+B13</f>
        <v>720</v>
      </c>
      <c r="C14">
        <f>C11+C12+C13</f>
        <v>376.40000000000003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5"/>
  <sheetData>
    <row r="1">
      <c r="A1" t="s">
        <v>14</v>
      </c>
    </row>
    <row r="10">
      <c r="A10" t="s">
        <v>15</v>
      </c>
      <c r="B10" t="s">
        <v>8</v>
      </c>
      <c r="C10" t="s">
        <v>9</v>
      </c>
    </row>
    <row r="11">
      <c r="A11" t="s">
        <v>16</v>
      </c>
      <c r="B11">
        <f>Assumptions!$B$3</f>
        <v>0.06</v>
      </c>
      <c r="C11">
        <f>B11</f>
        <v>0.06</v>
      </c>
    </row>
    <row r="12">
      <c r="A12" t="s">
        <v>17</v>
      </c>
      <c r="B12">
        <f>('Debt Schedule'!B11+'Debt Schedule'!B11)/2</f>
        <v>1000</v>
      </c>
      <c r="C12">
        <f>('Debt Schedule'!C11+'Debt Schedule'!C11)/2</f>
        <v>720</v>
      </c>
    </row>
    <row r="13">
      <c r="A13" t="s">
        <v>11</v>
      </c>
      <c r="B13">
        <f>B12*B11</f>
        <v>60</v>
      </c>
      <c r="C13">
        <f>C12*C11</f>
        <v>43.199999999999996</v>
      </c>
    </row>
  </sheetData>
  <pageMargins left="0.699999988079071" right="0.699999988079071" top="0.75" bottom="0.75" header="0.30000001192092896" footer="0.30000001192092896"/>
  <pageSetup orientation="portrait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5"/>
  <sheetData>
    <row r="1">
      <c r="A1" t="s">
        <v>18</v>
      </c>
    </row>
    <row r="10">
      <c r="A10" t="s">
        <v>19</v>
      </c>
      <c r="B10" t="s">
        <v>8</v>
      </c>
      <c r="C10" t="s">
        <v>9</v>
      </c>
    </row>
    <row r="11">
      <c r="A11" t="s">
        <v>20</v>
      </c>
      <c r="B11">
        <f>Assumptions!B6</f>
        <v>400</v>
      </c>
      <c r="C11">
        <f>Assumptions!B7</f>
        <v>430</v>
      </c>
    </row>
    <row r="12">
      <c r="A12" t="s">
        <v>21</v>
      </c>
      <c r="B12">
        <f>B11-Interest!B13</f>
        <v>340</v>
      </c>
      <c r="C12">
        <f>C11-Interest!C13</f>
        <v>386.8</v>
      </c>
    </row>
    <row r="14">
      <c r="A14" t="s">
        <v>22</v>
      </c>
      <c r="B14">
        <f>Interest.Charge</f>
        <v>60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A1" sqref="A1"/>
    </sheetView>
  </sheetViews>
  <sheetFormatPr defaultRowHeight="15"/>
  <sheetData>
    <row r="1">
      <c r="A1" t="s">
        <v>23</v>
      </c>
    </row>
    <row r="10">
      <c r="A10" t="s">
        <v>24</v>
      </c>
      <c r="B10" t="s">
        <v>8</v>
      </c>
      <c r="C10" t="s">
        <v>9</v>
      </c>
    </row>
    <row r="11">
      <c r="A11" t="s">
        <v>25</v>
      </c>
      <c r="B11">
        <v>1000</v>
      </c>
      <c r="C11">
        <f>B13</f>
        <v>880</v>
      </c>
    </row>
    <row r="12">
      <c r="A12" t="s">
        <v>26</v>
      </c>
      <c r="B12">
        <v>-120</v>
      </c>
      <c r="C12">
        <v>-80</v>
      </c>
    </row>
    <row r="13">
      <c r="A13" t="s">
        <v>27</v>
      </c>
      <c r="B13">
        <f>SUM(B11:B12)</f>
        <v>880</v>
      </c>
      <c r="C13">
        <f>SUM(C11:C12)</f>
        <v>800</v>
      </c>
    </row>
  </sheetData>
  <pageMargins left="0.699999988079071" right="0.699999988079071" top="0.75" bottom="0.75" header="0.30000001192092896" footer="0.30000001192092896"/>
  <pageSetup orientation="portrait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1" sqref="A1"/>
    </sheetView>
  </sheetViews>
  <sheetFormatPr defaultRowHeight="15"/>
  <sheetData>
    <row r="1">
      <c r="A1" t="s">
        <v>28</v>
      </c>
    </row>
    <row r="10">
      <c r="A10" t="s">
        <v>29</v>
      </c>
      <c r="B10" t="s">
        <v>8</v>
      </c>
    </row>
    <row r="11">
      <c r="A11" t="s">
        <v>29</v>
      </c>
      <c r="B11">
        <f>B12/2</f>
        <v>0</v>
      </c>
    </row>
    <row r="12">
      <c r="A12" t="s">
        <v>29</v>
      </c>
      <c r="B12">
        <f>B11+100</f>
        <v>0</v>
      </c>
    </row>
  </sheetData>
  <pageMargins left="0.699999988079071" right="0.699999988079071" top="0.75" bottom="0.75" header="0.30000001192092896" footer="0.30000001192092896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