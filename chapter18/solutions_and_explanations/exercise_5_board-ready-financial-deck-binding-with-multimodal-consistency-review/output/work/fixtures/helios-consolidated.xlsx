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1"/>
  </bookViews>
  <sheets>
    <sheet name="Consolidated" sheetId="1" r:id="rId1"/>
    <sheet name="Scenarios" sheetId="2" r:id="rId2"/>
  </sheets>
  <definedNames>
    <definedName name="Helios.Revenue.Q3">Consolidated!$B$6</definedName>
    <definedName name="Helios.GrossMargin.Pct">Consolidated!$B$9</definedName>
    <definedName name="Helios.Ebitda.Q3">Consolidated!$B$11</definedName>
    <definedName name="Helios.NetIncome.Q3">Consolidated!$B$16</definedName>
    <definedName name="Helios.FreeCashFlow.Q3">Consolidated!$B$18</definedName>
    <definedName name="Helios.NetMargin.Pct">Consolidated!$B$19</definedName>
  </definedNames>
  <calcPr calcId="191029"/>
</workbook>
</file>

<file path=xl/sharedStrings.xml><?xml version="1.0" encoding="utf-8"?>
<sst xmlns="http://schemas.openxmlformats.org/spreadsheetml/2006/main" count="25" uniqueCount="23">
  <si>
    <t>Helios consolidated P&amp;L (2026-09)</t>
  </si>
  <si>
    <t>Line item</t>
  </si>
  <si>
    <t>Amount</t>
  </si>
  <si>
    <t>Gross revenue</t>
  </si>
  <si>
    <t>Eliminations</t>
  </si>
  <si>
    <t>Net revenue</t>
  </si>
  <si>
    <t>Cost of sales</t>
  </si>
  <si>
    <t>Gross profit</t>
  </si>
  <si>
    <t>Gross margin</t>
  </si>
  <si>
    <t>Operating expense</t>
  </si>
  <si>
    <t>EBITDA</t>
  </si>
  <si>
    <t>Depreciation and amortisation</t>
  </si>
  <si>
    <t>EBIT</t>
  </si>
  <si>
    <t>Interest</t>
  </si>
  <si>
    <t>Tax</t>
  </si>
  <si>
    <t>Net income</t>
  </si>
  <si>
    <t>Capital expenditure</t>
  </si>
  <si>
    <t>Free cash flow</t>
  </si>
  <si>
    <t>Net margin</t>
  </si>
  <si>
    <t>Scenario</t>
  </si>
  <si>
    <t>Base</t>
  </si>
  <si>
    <t>Upside</t>
  </si>
  <si>
    <t>Downside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</si>
</sst>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>
      <selection activeCell="A1" sqref="A1"/>
    </sheetView>
  </sheetViews>
  <sheetFormatPr defaultRowHeight="15"/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>
        <v>173400000</v>
      </c>
    </row>
    <row r="5">
      <c r="A5" t="s">
        <v>4</v>
      </c>
      <c r="B5">
        <v>-4200000</v>
      </c>
    </row>
    <row r="6">
      <c r="A6" t="s">
        <v>5</v>
      </c>
      <c r="B6">
        <f>B4+B5</f>
        <v>169200000</v>
      </c>
    </row>
    <row r="7">
      <c r="A7" t="s">
        <v>6</v>
      </c>
      <c r="B7">
        <v>-71700000</v>
      </c>
    </row>
    <row r="8">
      <c r="A8" t="s">
        <v>7</v>
      </c>
      <c r="B8">
        <f>B6+B7</f>
        <v>97500000</v>
      </c>
    </row>
    <row r="9">
      <c r="A9" t="s">
        <v>8</v>
      </c>
      <c r="B9">
        <f>B8/B6</f>
        <v>0.5762411347517731</v>
      </c>
    </row>
    <row r="10">
      <c r="A10" t="s">
        <v>9</v>
      </c>
      <c r="B10">
        <v>-52300000</v>
      </c>
    </row>
    <row r="11">
      <c r="A11" t="s">
        <v>10</v>
      </c>
      <c r="B11">
        <f>B8+B10</f>
        <v>45200000</v>
      </c>
    </row>
    <row r="12">
      <c r="A12" t="s">
        <v>11</v>
      </c>
      <c r="B12">
        <v>-9800000</v>
      </c>
    </row>
    <row r="13">
      <c r="A13" t="s">
        <v>12</v>
      </c>
      <c r="B13">
        <f>B11+B12</f>
        <v>35400000</v>
      </c>
    </row>
    <row r="14">
      <c r="A14" t="s">
        <v>13</v>
      </c>
      <c r="B14">
        <v>-6100000</v>
      </c>
    </row>
    <row r="15">
      <c r="A15" t="s">
        <v>14</v>
      </c>
      <c r="B15">
        <v>-7440000</v>
      </c>
    </row>
    <row r="16">
      <c r="A16" t="s">
        <v>15</v>
      </c>
      <c r="B16">
        <f>B13+B14+B15</f>
        <v>21860000</v>
      </c>
    </row>
    <row r="17">
      <c r="A17" t="s">
        <v>16</v>
      </c>
      <c r="B17">
        <v>-8900000</v>
      </c>
    </row>
    <row r="18">
      <c r="A18" t="s">
        <v>17</v>
      </c>
      <c r="B18">
        <f>B16+B17</f>
        <v>12960000</v>
      </c>
    </row>
    <row r="19">
      <c r="A19" t="s">
        <v>18</v>
      </c>
      <c r="B19">
        <f>B16/B6</f>
        <v>0.12919621749408983</v>
      </c>
    </row>
  </sheetData>
  <pageMargins left="0.699999988079071" right="0.699999988079071" top="0.75" bottom="0.75" header="0.30000001192092896" footer="0.30000001192092896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A1" sqref="A1"/>
    </sheetView>
  </sheetViews>
  <sheetFormatPr defaultRowHeight="15"/>
  <sheetData>
    <row r="1">
      <c r="A1" t="s">
        <v>19</v>
      </c>
      <c r="B1" t="s">
        <v>5</v>
      </c>
      <c r="C1" t="s">
        <v>10</v>
      </c>
    </row>
    <row r="2">
      <c r="A2" t="s">
        <v>20</v>
      </c>
      <c r="B2">
        <f>Consolidated!B6</f>
        <v>169200000</v>
      </c>
      <c r="C2">
        <f>Consolidated!B11</f>
        <v>45200000</v>
      </c>
    </row>
    <row r="3">
      <c r="A3" t="s">
        <v>21</v>
      </c>
      <c r="B3">
        <f>Consolidated!B6*1.08</f>
        <v>182736000</v>
      </c>
      <c r="C3">
        <f>Consolidated!B11*1.12</f>
        <v>50624000.00000001</v>
      </c>
    </row>
    <row r="4">
      <c r="A4" t="s">
        <v>22</v>
      </c>
      <c r="B4">
        <f>Consolidated!B6*0.93</f>
        <v>157356000</v>
      </c>
      <c r="C4">
        <f>Consolidated!B11*0.88</f>
        <v>39776000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