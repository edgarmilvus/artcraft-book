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activeTab="2"/>
  </bookViews>
  <sheets>
    <sheet name="Assumptions" sheetId="1" r:id="rId1"/>
    <sheet name="Overrides" sheetId="2" r:id="rId2"/>
    <sheet name="Revenue" sheetId="3" r:id="rId3"/>
    <sheet name="Cost" sheetId="4" r:id="rId4"/>
    <sheet name="EBITDA" sheetId="5" r:id="rId5"/>
    <sheet name="BalanceSheet" sheetId="6" r:id="rId6"/>
  </sheets>
  <definedNames>
    <definedName name="Scenario.Active">Assumptions!$B$1</definedName>
    <definedName name="Scenario.Value.headcount.sales.q1">Assumptions!$F$4</definedName>
    <definedName name="Scenario.Value.arr">Assumptions!$F$5</definedName>
    <definedName name="Scenario.Value.churn">Assumptions!$F$6</definedName>
    <definedName name="Scenario.Value.gm">Assumptions!$F$7</definedName>
    <definedName name="Scenario.Value.cac">Assumptions!$F$8</definedName>
    <definedName name="Scenario.Value.price.eur">Assumptions!$F$9</definedName>
    <definedName name="Overrides.Value.headcount.sales.q1">Overrides!$B$2</definedName>
    <definedName name="Overrides.Value.arr">Overrides!$B$3</definedName>
    <definedName name="Overrides.Value.churn">Overrides!$B$4</definedName>
    <definedName name="Overrides.Value.gm">Overrides!$B$5</definedName>
    <definedName name="Overrides.Value.cac">Overrides!$B$6</definedName>
    <definedName name="Overrides.Value.price.eur">Overrides!$B$7</definedName>
    <definedName name="Effective.headcount.sales.q1">Overrides!$C$2</definedName>
    <definedName name="Effective.arr">Overrides!$C$3</definedName>
    <definedName name="Effective.churn">Overrides!$C$4</definedName>
    <definedName name="Effective.gm">Overrides!$C$5</definedName>
    <definedName name="Effective.cac">Overrides!$C$6</definedName>
    <definedName name="Effective.price.eur">Overrides!$C$7</definedName>
    <definedName name="Revenue.TopLine">Revenue!$B$2</definedName>
    <definedName name="Cost.TopLine">Cost!$B$2</definedName>
    <definedName name="EBITDA.TopLine">EBITDA!$B$2</definedName>
    <definedName name="BalanceSheet.TopLine">BalanceSheet!$B$2</definedName>
    <definedName name="_sc_scenarios" hidden="1" comment="GridCraft Scenario Manager data">"[{""name"":""Bear"",""sheet"":""Assumptions"",""changing"":""B1"",""values"":[1],""comment"":""Scenario.Active index 1""},{""name"":""Base"",""sheet"":""Assumptions"",""changing"":""B1"",""values"":[2],""comment"":""Scenario.Active index 2""},{""name"":""Bull"",""sheet"":""Assumptions"",""chang"&amp;"ing"":""B1"",""values"":[3],""comment"":""Scenario.Active index 3""},{""name"":""Doom"",""sheet"":""Assumptions"",""changing"":""B1"",""values"":[4],""comment"":""Scenario.Active index 4""}]"</definedName>
  </definedNames>
  <calcPr calcId="191029"/>
</workbook>
</file>

<file path=xl/sharedStrings.xml><?xml version="1.0" encoding="utf-8"?>
<sst xmlns="http://schemas.openxmlformats.org/spreadsheetml/2006/main" count="31" uniqueCount="24">
  <si>
    <t>Scenario.Active</t>
  </si>
  <si>
    <t>Scenario index</t>
  </si>
  <si>
    <t>assumption</t>
  </si>
  <si>
    <t>Bear</t>
  </si>
  <si>
    <t>Base</t>
  </si>
  <si>
    <t>Bull</t>
  </si>
  <si>
    <t>Doom</t>
  </si>
  <si>
    <t>Scenario.Value</t>
  </si>
  <si>
    <t>headcount.sales.q1</t>
  </si>
  <si>
    <t>arr</t>
  </si>
  <si>
    <t>churn</t>
  </si>
  <si>
    <t>gm</t>
  </si>
  <si>
    <t>cac</t>
  </si>
  <si>
    <t>price.eur</t>
  </si>
  <si>
    <t>override_value</t>
  </si>
  <si>
    <t>effective_value</t>
  </si>
  <si>
    <t>Helios revenue (model points)</t>
  </si>
  <si>
    <t>Revenue.TopLine</t>
  </si>
  <si>
    <t>Helios cost of revenue (model points)</t>
  </si>
  <si>
    <t>Cost.TopLine</t>
  </si>
  <si>
    <t>Helios EBITDA (model points)</t>
  </si>
  <si>
    <t>EBITDA.TopLine</t>
  </si>
  <si>
    <t>Helios balance sheet (model points)</t>
  </si>
  <si>
    <t>BalanceSheet.TopLine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</si>
</sst>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tyles" Target="styles.xml"/><Relationship Id="rId8" Type="http://schemas.openxmlformats.org/officeDocument/2006/relationships/theme" Target="theme/theme1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raft">
  <a:themeElements>
    <a:clrScheme name="Craf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Craft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Craft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workbookViewId="0">
      <selection activeCell="A1" sqref="A1"/>
    </sheetView>
  </sheetViews>
  <sheetFormatPr defaultRowHeight="15"/>
  <sheetData>
    <row r="1">
      <c r="A1" t="s">
        <v>0</v>
      </c>
      <c r="B1">
        <v>2</v>
      </c>
    </row>
    <row r="2">
      <c r="A2" t="s">
        <v>1</v>
      </c>
      <c r="B2">
        <v>1</v>
      </c>
      <c r="C2">
        <v>2</v>
      </c>
      <c r="D2">
        <v>3</v>
      </c>
      <c r="E2">
        <v>4</v>
      </c>
    </row>
    <row r="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</row>
    <row r="4">
      <c r="A4" t="s">
        <v>8</v>
      </c>
      <c r="B4">
        <v>78</v>
      </c>
      <c r="C4">
        <v>100</v>
      </c>
      <c r="D4">
        <v>121</v>
      </c>
      <c r="E4">
        <v>63</v>
      </c>
      <c r="F4">
        <f>CHOOSE(Scenario.Active,B4,C4,D4,E4)</f>
        <v>100</v>
      </c>
    </row>
    <row r="5">
      <c r="A5" t="s">
        <v>9</v>
      </c>
      <c r="B5">
        <v>88</v>
      </c>
      <c r="C5">
        <v>100</v>
      </c>
      <c r="D5">
        <v>118</v>
      </c>
      <c r="E5">
        <v>71</v>
      </c>
      <c r="F5">
        <f>CHOOSE(Scenario.Active,B5,C5,D5,E5)</f>
        <v>100</v>
      </c>
    </row>
    <row r="6">
      <c r="A6" t="s">
        <v>10</v>
      </c>
      <c r="B6">
        <v>0.12</v>
      </c>
      <c r="C6">
        <v>0.08</v>
      </c>
      <c r="D6">
        <v>0.05</v>
      </c>
      <c r="E6">
        <v>0.18</v>
      </c>
      <c r="F6">
        <f>CHOOSE(Scenario.Active,B6,C6,D6,E6)</f>
        <v>0.08</v>
      </c>
    </row>
    <row r="7">
      <c r="A7" t="s">
        <v>11</v>
      </c>
      <c r="B7">
        <v>0.58</v>
      </c>
      <c r="C7">
        <v>0.64</v>
      </c>
      <c r="D7">
        <v>0.7</v>
      </c>
      <c r="E7">
        <v>0.5</v>
      </c>
      <c r="F7">
        <f>CHOOSE(Scenario.Active,B7,C7,D7,E7)</f>
        <v>0.64</v>
      </c>
    </row>
    <row r="8">
      <c r="A8" t="s">
        <v>12</v>
      </c>
      <c r="B8">
        <v>112</v>
      </c>
      <c r="C8">
        <v>100</v>
      </c>
      <c r="D8">
        <v>91</v>
      </c>
      <c r="E8">
        <v>134</v>
      </c>
      <c r="F8">
        <f>CHOOSE(Scenario.Active,B8,C8,D8,E8)</f>
        <v>100</v>
      </c>
    </row>
    <row r="9">
      <c r="A9" t="s">
        <v>13</v>
      </c>
      <c r="B9">
        <v>94</v>
      </c>
      <c r="C9">
        <v>100</v>
      </c>
      <c r="D9">
        <v>107</v>
      </c>
      <c r="E9">
        <v>88</v>
      </c>
      <c r="F9">
        <f>CHOOSE(Scenario.Active,B9,C9,D9,E9)</f>
        <v>100</v>
      </c>
    </row>
  </sheetData>
  <pageMargins left="0.699999988079071" right="0.699999988079071" top="0.75" bottom="0.75" header="0.30000001192092896" footer="0.30000001192092896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>
      <selection activeCell="A1" sqref="A1"/>
    </sheetView>
  </sheetViews>
  <sheetFormatPr defaultRowHeight="15"/>
  <sheetData>
    <row r="1">
      <c r="A1" t="s">
        <v>2</v>
      </c>
      <c r="B1" t="s">
        <v>14</v>
      </c>
      <c r="C1" t="s">
        <v>15</v>
      </c>
    </row>
    <row r="2">
      <c r="A2" t="s">
        <v>8</v>
      </c>
      <c r="C2">
        <f>IF(Overrides.Value.headcount.sales.q1="",Scenario.Value.headcount.sales.q1,Overrides.Value.headcount.sales.q1)</f>
        <v>100</v>
      </c>
    </row>
    <row r="3">
      <c r="A3" t="s">
        <v>9</v>
      </c>
      <c r="C3">
        <f>IF(Overrides.Value.arr="",Scenario.Value.arr,Overrides.Value.arr)</f>
        <v>100</v>
      </c>
    </row>
    <row r="4">
      <c r="A4" t="s">
        <v>10</v>
      </c>
      <c r="C4">
        <f>IF(Overrides.Value.churn="",Scenario.Value.churn,Overrides.Value.churn)</f>
        <v>0.08</v>
      </c>
    </row>
    <row r="5">
      <c r="A5" t="s">
        <v>11</v>
      </c>
      <c r="B5">
        <v>0.66</v>
      </c>
      <c r="C5">
        <f>IF(Overrides.Value.gm="",Scenario.Value.gm,Overrides.Value.gm)</f>
        <v>0.66</v>
      </c>
    </row>
    <row r="6">
      <c r="A6" t="s">
        <v>12</v>
      </c>
      <c r="C6">
        <f>IF(Overrides.Value.cac="",Scenario.Value.cac,Overrides.Value.cac)</f>
        <v>100</v>
      </c>
    </row>
    <row r="7">
      <c r="A7" t="s">
        <v>13</v>
      </c>
      <c r="C7">
        <f>IF(Overrides.Value.price.eur="",Scenario.Value.price.eur,Overrides.Value.price.eur)</f>
        <v>100</v>
      </c>
    </row>
  </sheetData>
  <pageMargins left="0.699999988079071" right="0.699999988079071" top="0.75" bottom="0.75" header="0.30000001192092896" footer="0.30000001192092896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>
      <selection activeCell="A1" sqref="A1"/>
    </sheetView>
  </sheetViews>
  <sheetFormatPr defaultRowHeight="15"/>
  <sheetData>
    <row r="1">
      <c r="A1" t="s">
        <v>16</v>
      </c>
    </row>
    <row r="2">
      <c r="A2" t="s">
        <v>17</v>
      </c>
      <c r="B2">
        <f>Effective.arr*(1-Effective.churn)*Effective.price.eur</f>
        <v>9200</v>
      </c>
    </row>
  </sheetData>
  <pageMargins left="0.699999988079071" right="0.699999988079071" top="0.75" bottom="0.75" header="0.30000001192092896" footer="0.30000001192092896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"/>
  <sheetViews>
    <sheetView workbookViewId="0">
      <selection activeCell="A1" sqref="A1"/>
    </sheetView>
  </sheetViews>
  <sheetFormatPr defaultRowHeight="15"/>
  <sheetData>
    <row r="1">
      <c r="A1" t="s">
        <v>18</v>
      </c>
    </row>
    <row r="2">
      <c r="A2" t="s">
        <v>19</v>
      </c>
      <c r="B2">
        <f>Effective.headcount.sales.q1*Effective.cac*(1-Effective.gm)</f>
        <v>3399.9999999999995</v>
      </c>
    </row>
  </sheetData>
  <pageMargins left="0.699999988079071" right="0.699999988079071" top="0.75" bottom="0.75" header="0.30000001192092896" footer="0.30000001192092896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>
  <dimension ref="A1:B2"/>
  <sheetViews>
    <sheetView workbookViewId="0">
      <selection activeCell="A1" sqref="A1"/>
    </sheetView>
  </sheetViews>
  <sheetFormatPr defaultRowHeight="15"/>
  <sheetData>
    <row r="1">
      <c r="A1" t="s">
        <v>20</v>
      </c>
    </row>
    <row r="2">
      <c r="A2" t="s">
        <v>21</v>
      </c>
      <c r="B2">
        <f>Revenue.TopLine-Cost.TopLine</f>
        <v>5800</v>
      </c>
    </row>
  </sheetData>
  <pageMargins left="0.699999988079071" right="0.699999988079071" top="0.75" bottom="0.75" header="0.30000001192092896" footer="0.30000001192092896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>
  <dimension ref="A1:B2"/>
  <sheetViews>
    <sheetView workbookViewId="0">
      <selection activeCell="A1" sqref="A1"/>
    </sheetView>
  </sheetViews>
  <sheetFormatPr defaultRowHeight="15"/>
  <sheetData>
    <row r="1">
      <c r="A1" t="s">
        <v>22</v>
      </c>
    </row>
    <row r="2">
      <c r="A2" t="s">
        <v>23</v>
      </c>
      <c r="B2">
        <f>EBITDA.TopLine</f>
        <v>5800</v>
      </c>
    </row>
  </sheetData>
  <pageMargins left="0.699999988079071" right="0.699999988079071" top="0.75" bottom="0.75" header="0.30000001192092896" footer="0.30000001192092896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GridCraft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