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Assumptions" sheetId="1" r:id="rId1"/>
    <sheet name="Revenue" sheetId="2" r:id="rId2"/>
    <sheet name="P&amp;L" sheetId="3" r:id="rId3"/>
  </sheets>
  <definedNames>
    <definedName name="GrowthRate">Assumptions!$B$1</definedName>
    <definedName name="GrossMargin">Assumptions!$B$2</definedName>
    <definedName name="MonthlyOpex">Assumptions!$B$3</definedName>
    <definedName name="SeedRevenue">Assumptions!$B$4</definedName>
  </definedNames>
  <calcPr calcId="191029"/>
</workbook>
</file>

<file path=xl/sharedStrings.xml><?xml version="1.0" encoding="utf-8"?>
<sst xmlns="http://schemas.openxmlformats.org/spreadsheetml/2006/main" count="17" uniqueCount="17">
  <si>
    <t>Growth Rate</t>
  </si>
  <si>
    <t>Gross Margin</t>
  </si>
  <si>
    <t>Monthly OpEx</t>
  </si>
  <si>
    <t>Seed Revenue (M0)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</si>
  <si>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</si>
  <si>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</si>
  <si>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</si>
  <si>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</si>
  <si>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</si>
  <si>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</si>
  <si>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</si>
  <si>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</si>
  <si>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</si>
  <si>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</si>
  <si>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</si>
  <si>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</si>
  <si>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Operating Profit (per month)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</si>
</sst>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1" sqref="A1"/>
    </sheetView>
  </sheetViews>
  <sheetFormatPr defaultRowHeight="15"/>
  <sheetData>
    <row r="1">
      <c r="A1" t="s">
        <v>0</v>
      </c>
      <c r="B1" s="1">
        <v>0.08</v>
      </c>
    </row>
    <row r="2">
      <c r="A2" t="s">
        <v>1</v>
      </c>
      <c r="B2" s="1">
        <v>0.72</v>
      </c>
    </row>
    <row r="3">
      <c r="A3" t="s">
        <v>2</v>
      </c>
      <c r="B3" s="2">
        <v>250000</v>
      </c>
    </row>
    <row r="4">
      <c r="A4" t="s">
        <v>3</v>
      </c>
      <c r="B4" s="2">
        <v>1200000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1" sqref="A1"/>
    </sheetView>
  </sheetViews>
  <sheetFormatPr defaultRowHeight="15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>
      <c r="A2">
        <f>SeedRevenue</f>
        <v>1200000</v>
      </c>
      <c r="B2">
        <f>A2*(1+GrowthRate/12)</f>
        <v>1208000</v>
      </c>
      <c r="C2">
        <f>B2*(1+GrowthRate/12)</f>
        <v>1216053.3333333333</v>
      </c>
      <c r="D2">
        <f>C2*(1+GrowthRate/12)</f>
        <v>1224160.3555555553</v>
      </c>
      <c r="E2">
        <f>D2*(1+GrowthRate/12)</f>
        <v>1232321.4245925923</v>
      </c>
      <c r="F2">
        <f>E2*(1+GrowthRate/12)</f>
        <v>1240536.9007565428</v>
      </c>
      <c r="G2">
        <f>F2*(1+GrowthRate/12)</f>
        <v>1248807.1467615864</v>
      </c>
      <c r="H2">
        <f>G2*(1+GrowthRate/12)</f>
        <v>1257132.527739997</v>
      </c>
      <c r="I2">
        <f>H2*(1+GrowthRate/12)</f>
        <v>1265513.4112582635</v>
      </c>
      <c r="J2">
        <f>I2*(1+GrowthRate/12)</f>
        <v>1273950.1673333186</v>
      </c>
      <c r="K2">
        <f>J2*(1+GrowthRate/12)</f>
        <v>1282443.168448874</v>
      </c>
      <c r="L2">
        <f>K2*(1+GrowthRate/12)</f>
        <v>1290992.7895718664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A1" sqref="A1"/>
    </sheetView>
  </sheetViews>
  <sheetFormatPr defaultRowHeight="15"/>
  <sheetData>
    <row r="1">
      <c r="A1" t="s">
        <v>16</v>
      </c>
    </row>
    <row r="2">
      <c r="A2">
        <f>Revenue!A2-(Revenue!A2*(1-GrossMargin))-MonthlyOpex</f>
        <v>614000</v>
      </c>
      <c r="B2">
        <f>Revenue!B2-(Revenue!B2*(1-GrossMargin))-MonthlyOpex</f>
        <v>619760</v>
      </c>
      <c r="C2">
        <f>Revenue!C2-(Revenue!C2*(1-GrossMargin))-MonthlyOpex</f>
        <v>625558.3999999999</v>
      </c>
      <c r="D2">
        <f>Revenue!D2-(Revenue!D2*(1-GrossMargin))-MonthlyOpex</f>
        <v>631395.4559999998</v>
      </c>
      <c r="E2">
        <f>Revenue!E2-(Revenue!E2*(1-GrossMargin))-MonthlyOpex</f>
        <v>637271.4257066664</v>
      </c>
      <c r="F2">
        <f>Revenue!F2-(Revenue!F2*(1-GrossMargin))-MonthlyOpex</f>
        <v>643186.5685447108</v>
      </c>
      <c r="G2">
        <f>Revenue!G2-(Revenue!G2*(1-GrossMargin))-MonthlyOpex</f>
        <v>649141.1456683422</v>
      </c>
      <c r="H2">
        <f>Revenue!H2-(Revenue!H2*(1-GrossMargin))-MonthlyOpex</f>
        <v>655135.4199727979</v>
      </c>
      <c r="I2">
        <f>Revenue!I2-(Revenue!I2*(1-GrossMargin))-MonthlyOpex</f>
        <v>661169.6561059498</v>
      </c>
      <c r="J2">
        <f>Revenue!J2-(Revenue!J2*(1-GrossMargin))-MonthlyOpex</f>
        <v>667244.1204799893</v>
      </c>
      <c r="K2">
        <f>Revenue!K2-(Revenue!K2*(1-GrossMargin))-MonthlyOpex</f>
        <v>673359.0812831892</v>
      </c>
      <c r="L2">
        <f>Revenue!L2-(Revenue!L2*(1-GrossMargin))-MonthlyOpex</f>
        <v>679514.8084917438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